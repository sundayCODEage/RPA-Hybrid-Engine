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defaultThemeVersion="202300"/>
  <xr:revisionPtr revIDLastSave="0" documentId="13_ncr:1_{090E6B23-9699-4EBB-AD22-1C47EFD2C0CB}" xr6:coauthVersionLast="47" xr6:coauthVersionMax="47" xr10:uidLastSave="{00000000-0000-0000-0000-000000000000}"/>
  <bookViews>
    <workbookView xWindow="-108" yWindow="-108" windowWidth="23256" windowHeight="12456" xr2:uid="{445DE401-751F-4343-8E4E-38BBB2FC1144}"/>
  </bookViews>
  <sheets>
    <sheet name="TEST" sheetId="4" r:id="rId1"/>
    <sheet name="TestCases" sheetId="3" r:id="rId2"/>
  </sheets>
  <functionGroups builtInGroupCount="19"/>
  <definedNames>
    <definedName name="_xlnm._FilterDatabase" localSheetId="1" hidden="1">TestCases!$A$10:$A$16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7" i="3"/>
</calcChain>
</file>

<file path=xl/sharedStrings.xml><?xml version="1.0" encoding="utf-8"?>
<sst xmlns="http://schemas.openxmlformats.org/spreadsheetml/2006/main" count="64" uniqueCount="55">
  <si>
    <t>True | bbox: {"x":306,"y":17,"width":424,"height":32}</t>
  </si>
  <si>
    <t>OK (Physical)</t>
  </si>
  <si>
    <t>42</t>
  </si>
  <si>
    <t>782</t>
    <phoneticPr fontId="1"/>
  </si>
  <si>
    <t>https://ja.wikipedia.org/wiki/](https://ja.wikipedia.org/wiki/</t>
    <phoneticPr fontId="1"/>
  </si>
  <si>
    <t>T06(物理クリック)</t>
    <phoneticPr fontId="1"/>
  </si>
  <si>
    <t>647</t>
  </si>
  <si>
    <t>T05(物理入力)</t>
    <phoneticPr fontId="1"/>
  </si>
  <si>
    <t>[RESULT]{"selector":"button.style-scope.yt-icon-button","outerHtml":"&lt;button id=\"button\" class=\"style-scope yt-icon-button\" aria-label=\"戻る\"&gt;\n      &lt;yt-icon icon=\"yt-icons:arrow-back\" class=\"style-scope ytd-masthead\" disable-upgrade=\"\"&gt;\n      &lt;/yt-icon&gt;\n    &lt;/button&gt;","boundingBox":{"x":0,"y":0,"width":0,"height":0},"log":{"dpr":1.25,"targetX":753.6,"targetY":389.6,"elementTag":"BUTTON","elementId":"button","elementName":""}}</t>
  </si>
  <si>
    <t>OK</t>
  </si>
  <si>
    <t>button.style-scope.yt-icon-button</t>
  </si>
  <si>
    <t>487</t>
  </si>
  <si>
    <t>942</t>
  </si>
  <si>
    <t>https://www.youtube.com/</t>
    <phoneticPr fontId="1"/>
  </si>
  <si>
    <t>T04</t>
    <phoneticPr fontId="1"/>
  </si>
  <si>
    <t>#btn-check-3</t>
  </si>
  <si>
    <t>https://getbootstrap.jp/docs/5.3/forms/checks-radios/</t>
  </si>
  <si>
    <t>[RESULT]{"selector":"#searchInput","outerHtml":"&lt;input class=\"cdx-text-input__input mw-searchInput\" autocomplete=\"off\" type=\"search\" name=\"search\" placeholder=\"Wikipedia内を検索\" aria-label=\"Wikipedia内を検索\" autocapitalize=\"none\" spellcheck=\"false\" title=\"Wikipedia内を検索 [alt-f]\" accesskey=\"f\" id=\"searchInput\"&gt;","boundingBox":{"x":306,"y":17,"width":424,"height":32},"log":{"dpr":1.25,"targetX":517.6,"targetY":33.6,"elementTag":"INPUT","elementId":"searchInput","elementName":"search"}}</t>
  </si>
  <si>
    <t>#searchInput</t>
  </si>
  <si>
    <t>https://ja.wikipedia.org/wiki/</t>
  </si>
  <si>
    <t>T01</t>
    <phoneticPr fontId="1"/>
  </si>
  <si>
    <t>G: (Response)</t>
    <phoneticPr fontId="1"/>
  </si>
  <si>
    <t>F: (Result)</t>
    <phoneticPr fontId="1"/>
  </si>
  <si>
    <t>E: (ExpectedSelector)</t>
    <phoneticPr fontId="1"/>
  </si>
  <si>
    <t>D: (Client/Y)</t>
    <phoneticPr fontId="1"/>
  </si>
  <si>
    <t>C: (Client/X)</t>
    <phoneticPr fontId="1"/>
  </si>
  <si>
    <t>B: (Url)</t>
    <phoneticPr fontId="1"/>
  </si>
  <si>
    <t>A: (TestID)</t>
    <phoneticPr fontId="1"/>
  </si>
  <si>
    <t>TestID（xテストスキップ）</t>
    <phoneticPr fontId="1"/>
  </si>
  <si>
    <t>列C,D 座標を修正する</t>
    <rPh sb="0" eb="1">
      <t>レツ</t>
    </rPh>
    <rPh sb="5" eb="7">
      <t>ザヒョウ</t>
    </rPh>
    <rPh sb="8" eb="10">
      <t>シュウセイ</t>
    </rPh>
    <phoneticPr fontId="1"/>
  </si>
  <si>
    <t>40</t>
    <phoneticPr fontId="1"/>
  </si>
  <si>
    <t>4200</t>
    <phoneticPr fontId="1"/>
  </si>
  <si>
    <t>cY = (y + height / 2) * 1.25  (例: (4200 + 20) * 1.25 = 5275)</t>
    <phoneticPr fontId="1"/>
  </si>
  <si>
    <t>100</t>
    <phoneticPr fontId="1"/>
  </si>
  <si>
    <t>400</t>
    <phoneticPr fontId="1"/>
  </si>
  <si>
    <t>cX = (x + width / 2) * 1.25  (例: (400 + 50) * 1.25 = 562.5)</t>
    <phoneticPr fontId="1"/>
  </si>
  <si>
    <t>（例: "boundingBox":{"x": 400, "y": 4200, "width": 100, "height": 40} だった場合)</t>
  </si>
  <si>
    <t xml:space="preserve"> width ( height )</t>
    <phoneticPr fontId="1"/>
  </si>
  <si>
    <t>x( y )</t>
    <phoneticPr fontId="1"/>
  </si>
  <si>
    <t>STEP:3 DPR(1.25)を掛けて絶対座標(cX, cY)を算出する。（シートに入力する cX と cY は、論理ピクセルにDPR（1.25）を掛けた「物理ピクセル」である。）</t>
  </si>
  <si>
    <t>STEP:2 BoundingBox を確認する。（JSON（またはシートのE列〜H列）にある boundingBox の x と y を確認）</t>
  </si>
  <si>
    <t>STEP:1 ピッカーで対象を取得する。（対象ページを開き、目的の要素をクリック）＝取得する。）</t>
  </si>
  <si>
    <t>（● テスト座標は、画面の幅や拡大率（DPR: 1.25）によって変動するため、ピッカーを使って事前に、100%成功する正確な座標を逆算するのが確実です。）</t>
  </si>
  <si>
    <t>input#query_input[name="from"]</t>
  </si>
  <si>
    <t>大阪</t>
  </si>
  <si>
    <t>Set-WebTextInput -Selector "input#query_input[name="from"]" -Value "大阪" -OuterHtml "&lt;input id='query_input' type='text' autofocus='' name='from' autocomplete='off' value='' data-cl_cl_index='2'&gt;" -BoundingBox "{"y":407.25,"width":228,"height":35,"x":355.20001220703125}"</t>
  </si>
  <si>
    <t>&lt;input id='query_input' type='text' autofocus='' name='from' autocomplete='off' value='' data-cl_cl_index='2'&gt;</t>
  </si>
  <si>
    <t>input#query_input[name="to"]</t>
  </si>
  <si>
    <t>神戸</t>
  </si>
  <si>
    <t>Set-WebTextInput -Selector "input#query_input[name="to"]" -Value "神戸" -OuterHtml "&lt;input id='query_input' type='text' name='to' autocomplete='off' value='' data-cl_cl_index='4'&gt;" -BoundingBox "{"y":407.25,"width":228,"height":35,"x":355.20001220703125}"</t>
  </si>
  <si>
    <t>&lt;input id='query_input' type='text' name='to' autocomplete='off' value='' data-cl_cl_index='4'&gt;</t>
  </si>
  <si>
    <t>T02</t>
    <phoneticPr fontId="1"/>
  </si>
  <si>
    <t>T03(縦scr)</t>
    <rPh sb="4" eb="5">
      <t>タテ</t>
    </rPh>
    <phoneticPr fontId="1"/>
  </si>
  <si>
    <t>8120</t>
    <phoneticPr fontId="1"/>
  </si>
  <si>
    <t>763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</si>
</sst>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FF0000"/>
      <name val="BIZ UDゴシック"/>
      <family val="3"/>
      <charset val="128"/>
    </font>
    <font>
      <sz val="9"/>
      <name val="BIZ UDゴシック"/>
      <family val="3"/>
      <charset val="128"/>
    </font>
    <font>
      <sz val="9"/>
      <color rgb="FF0000FF"/>
      <name val="BIZ UDゴシック"/>
      <family val="3"/>
      <charset val="128"/>
    </font>
    <font>
      <sz val="9"/>
      <color theme="1"/>
      <name val="BIZ UD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3" fillId="2" borderId="1" xfId="0" applyNumberFormat="1" applyFont="1" applyFill="1" applyBorder="1">
      <alignment vertical="center"/>
    </xf>
    <xf numFmtId="49" fontId="3" fillId="3" borderId="1" xfId="0" applyNumberFormat="1" applyFont="1" applyFill="1" applyBorder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25EC6-6C34-4546-9AF9-4501C825BA3B}">
  <sheetPr codeName="Sheet1"/>
  <dimension ref="A2:H3"/>
  <sheetViews>
    <sheetView tabSelected="1" workbookViewId="0"/>
  </sheetViews>
  <sheetFormatPr defaultRowHeight="10.8" x14ac:dyDescent="0.45"/>
  <cols>
    <col min="1" max="1" width="30.69921875" style="6" customWidth="1"/>
    <col min="2" max="2" width="8.796875" style="6"/>
    <col min="3" max="4" width="50.69921875" style="6" customWidth="1"/>
    <col min="5" max="8" width="9.69921875" style="6" customWidth="1"/>
    <col min="9" max="16384" width="8.796875" style="6"/>
  </cols>
  <sheetData>
    <row r="2" spans="1:8" x14ac:dyDescent="0.45">
      <c r="A2" s="6" t="s">
        <v>43</v>
      </c>
      <c r="B2" s="6" t="s">
        <v>44</v>
      </c>
      <c r="C2" s="6" t="s">
        <v>45</v>
      </c>
      <c r="D2" s="6" t="s">
        <v>46</v>
      </c>
      <c r="E2" s="6">
        <v>355.20001220703102</v>
      </c>
      <c r="F2" s="6">
        <v>407.25</v>
      </c>
      <c r="G2" s="6">
        <v>228</v>
      </c>
      <c r="H2" s="6">
        <v>35</v>
      </c>
    </row>
    <row r="3" spans="1:8" x14ac:dyDescent="0.45">
      <c r="A3" s="6" t="s">
        <v>47</v>
      </c>
      <c r="B3" s="6" t="s">
        <v>48</v>
      </c>
      <c r="C3" s="6" t="s">
        <v>49</v>
      </c>
      <c r="D3" s="6" t="s">
        <v>50</v>
      </c>
      <c r="E3" s="6">
        <v>355.20001220703102</v>
      </c>
      <c r="F3" s="6">
        <v>407.25</v>
      </c>
      <c r="G3" s="6">
        <v>228</v>
      </c>
      <c r="H3" s="6">
        <v>35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48362-59D4-4044-A714-053F25C79DC2}">
  <sheetPr codeName="Sheet2">
    <pageSetUpPr fitToPage="1"/>
  </sheetPr>
  <dimension ref="A1:G16"/>
  <sheetViews>
    <sheetView workbookViewId="0">
      <selection activeCell="B25" sqref="B25"/>
    </sheetView>
  </sheetViews>
  <sheetFormatPr defaultColWidth="8.69921875" defaultRowHeight="10.8" x14ac:dyDescent="0.45"/>
  <cols>
    <col min="1" max="1" width="15.69921875" style="1" customWidth="1"/>
    <col min="2" max="2" width="40.69921875" style="1" customWidth="1"/>
    <col min="3" max="4" width="15.69921875" style="1" customWidth="1"/>
    <col min="5" max="5" width="40.69921875" style="1" customWidth="1"/>
    <col min="6" max="6" width="10.69921875" style="1" customWidth="1"/>
    <col min="7" max="7" width="30.69921875" style="1" customWidth="1"/>
    <col min="8" max="16384" width="8.69921875" style="1"/>
  </cols>
  <sheetData>
    <row r="1" spans="1:7" x14ac:dyDescent="0.45">
      <c r="A1" s="1" t="s">
        <v>42</v>
      </c>
    </row>
    <row r="2" spans="1:7" x14ac:dyDescent="0.45">
      <c r="A2" s="1" t="s">
        <v>41</v>
      </c>
    </row>
    <row r="3" spans="1:7" x14ac:dyDescent="0.45">
      <c r="A3" s="1" t="s">
        <v>40</v>
      </c>
    </row>
    <row r="4" spans="1:7" x14ac:dyDescent="0.45">
      <c r="A4" s="1" t="s">
        <v>39</v>
      </c>
    </row>
    <row r="5" spans="1:7" x14ac:dyDescent="0.45">
      <c r="C5" s="1" t="s">
        <v>38</v>
      </c>
      <c r="D5" s="1" t="s">
        <v>37</v>
      </c>
      <c r="E5" s="1" t="s">
        <v>36</v>
      </c>
    </row>
    <row r="6" spans="1:7" x14ac:dyDescent="0.45">
      <c r="A6" s="1" t="s">
        <v>35</v>
      </c>
      <c r="C6" s="1" t="s">
        <v>34</v>
      </c>
      <c r="D6" s="1" t="s">
        <v>33</v>
      </c>
      <c r="E6" s="1">
        <f>(C6+(D6/2))*1.25</f>
        <v>562.5</v>
      </c>
    </row>
    <row r="7" spans="1:7" x14ac:dyDescent="0.45">
      <c r="A7" s="1" t="s">
        <v>32</v>
      </c>
      <c r="C7" s="1" t="s">
        <v>31</v>
      </c>
      <c r="D7" s="1" t="s">
        <v>30</v>
      </c>
      <c r="E7" s="1">
        <f>(C7+(D7/2))*1.25</f>
        <v>5275</v>
      </c>
    </row>
    <row r="8" spans="1:7" x14ac:dyDescent="0.45">
      <c r="E8" s="1" t="s">
        <v>29</v>
      </c>
    </row>
    <row r="9" spans="1:7" x14ac:dyDescent="0.45">
      <c r="A9" s="1" t="s">
        <v>28</v>
      </c>
    </row>
    <row r="10" spans="1:7" x14ac:dyDescent="0.45">
      <c r="A10" s="5" t="s">
        <v>27</v>
      </c>
      <c r="B10" s="5" t="s">
        <v>26</v>
      </c>
      <c r="C10" s="5" t="s">
        <v>25</v>
      </c>
      <c r="D10" s="5" t="s">
        <v>24</v>
      </c>
      <c r="E10" s="5" t="s">
        <v>23</v>
      </c>
      <c r="F10" s="4" t="s">
        <v>22</v>
      </c>
      <c r="G10" s="4" t="s">
        <v>21</v>
      </c>
    </row>
    <row r="11" spans="1:7" x14ac:dyDescent="0.45">
      <c r="A11" s="1" t="s">
        <v>20</v>
      </c>
      <c r="B11" s="1" t="s">
        <v>19</v>
      </c>
      <c r="C11" s="1" t="s">
        <v>6</v>
      </c>
      <c r="D11" s="1" t="s">
        <v>2</v>
      </c>
      <c r="E11" s="1" t="s">
        <v>18</v>
      </c>
      <c r="F11" s="2" t="s">
        <v>9</v>
      </c>
      <c r="G11" s="1" t="s">
        <v>17</v>
      </c>
    </row>
    <row r="12" spans="1:7" x14ac:dyDescent="0.45">
      <c r="A12" s="1" t="s">
        <v>51</v>
      </c>
      <c r="B12" s="1" t="s">
        <v>16</v>
      </c>
      <c r="C12" s="1" t="s">
        <v>54</v>
      </c>
      <c r="D12" s="1" t="s">
        <v>53</v>
      </c>
      <c r="E12" s="1" t="s">
        <v>15</v>
      </c>
      <c r="F12" s="3"/>
    </row>
    <row r="13" spans="1:7" x14ac:dyDescent="0.45">
      <c r="A13" s="1" t="s">
        <v>52</v>
      </c>
      <c r="B13" s="1" t="s">
        <v>16</v>
      </c>
      <c r="C13" s="1">
        <v>604</v>
      </c>
      <c r="D13" s="1">
        <v>6490</v>
      </c>
      <c r="E13" s="1" t="s">
        <v>15</v>
      </c>
      <c r="F13" s="3"/>
    </row>
    <row r="14" spans="1:7" x14ac:dyDescent="0.45">
      <c r="A14" s="1" t="s">
        <v>14</v>
      </c>
      <c r="B14" s="1" t="s">
        <v>13</v>
      </c>
      <c r="C14" s="1" t="s">
        <v>12</v>
      </c>
      <c r="D14" s="1" t="s">
        <v>11</v>
      </c>
      <c r="E14" s="1" t="s">
        <v>10</v>
      </c>
      <c r="F14" s="2" t="s">
        <v>9</v>
      </c>
      <c r="G14" s="1" t="s">
        <v>8</v>
      </c>
    </row>
    <row r="15" spans="1:7" x14ac:dyDescent="0.45">
      <c r="A15" s="1" t="s">
        <v>7</v>
      </c>
      <c r="B15" s="1" t="s">
        <v>4</v>
      </c>
      <c r="C15" s="1" t="s">
        <v>6</v>
      </c>
      <c r="D15" s="1" t="s">
        <v>2</v>
      </c>
      <c r="F15" s="2" t="s">
        <v>1</v>
      </c>
      <c r="G15" s="1" t="s">
        <v>0</v>
      </c>
    </row>
    <row r="16" spans="1:7" x14ac:dyDescent="0.45">
      <c r="A16" s="1" t="s">
        <v>5</v>
      </c>
      <c r="B16" s="1" t="s">
        <v>4</v>
      </c>
      <c r="C16" s="1" t="s">
        <v>3</v>
      </c>
      <c r="D16" s="1" t="s">
        <v>2</v>
      </c>
      <c r="F16" s="2" t="s">
        <v>1</v>
      </c>
      <c r="G16" s="1" t="s">
        <v>0</v>
      </c>
    </row>
  </sheetData>
  <phoneticPr fontId="1"/>
  <pageMargins left="0.7" right="0.7" top="0.75" bottom="0.75" header="0.3" footer="0.3"/>
  <pageSetup paperSize="8" scale="6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TEST</vt:lpstr>
      <vt:lpstr>TestCases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2026-08-01T14:08:42Z</dcterms:created>
  <dcterms:modified xsi:type="dcterms:W3CDTF">2026-08-30T10:06:54Z</dcterms:modified>
</cp:coreProperties>
</file>